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FB8BC692-0C27-414B-A542-48C07B7C2763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Capex and Depreciation Schedule" sheetId="4" r:id="rId1"/>
    <sheet name="Income Statement " sheetId="3" r:id="rId2"/>
    <sheet name="Balance sheet" sheetId="5" r:id="rId3"/>
    <sheet name="Cashflow statement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6" l="1"/>
  <c r="D20" i="6"/>
  <c r="E20" i="6"/>
  <c r="B20" i="6"/>
  <c r="C18" i="6"/>
  <c r="D18" i="6"/>
  <c r="E18" i="6"/>
  <c r="B18" i="6"/>
  <c r="C19" i="6"/>
  <c r="D19" i="6"/>
  <c r="E19" i="6"/>
  <c r="B19" i="6"/>
  <c r="C13" i="6"/>
  <c r="D13" i="6"/>
  <c r="E13" i="6"/>
  <c r="B13" i="6"/>
  <c r="C6" i="6"/>
  <c r="D6" i="6"/>
  <c r="E6" i="6"/>
  <c r="B6" i="6"/>
  <c r="K29" i="3"/>
  <c r="L29" i="3"/>
  <c r="M29" i="3"/>
  <c r="J29" i="3"/>
  <c r="D45" i="5"/>
  <c r="E45" i="5"/>
  <c r="F45" i="5"/>
  <c r="C45" i="5"/>
  <c r="D27" i="5"/>
  <c r="E27" i="5"/>
  <c r="F27" i="5"/>
  <c r="C27" i="5"/>
  <c r="C21" i="5"/>
  <c r="C11" i="5"/>
  <c r="D11" i="5"/>
  <c r="E11" i="5"/>
  <c r="F11" i="5"/>
  <c r="D10" i="5"/>
  <c r="E10" i="5"/>
  <c r="F10" i="5"/>
  <c r="C10" i="5"/>
  <c r="D9" i="5"/>
  <c r="E9" i="5"/>
  <c r="F9" i="5"/>
  <c r="C9" i="5"/>
  <c r="B33" i="5"/>
  <c r="B31" i="5"/>
  <c r="B29" i="5"/>
  <c r="B23" i="5"/>
  <c r="B19" i="5"/>
  <c r="B13" i="5"/>
  <c r="B11" i="5"/>
  <c r="B7" i="5"/>
  <c r="K24" i="3"/>
  <c r="L24" i="3"/>
  <c r="M24" i="3"/>
  <c r="J24" i="3"/>
  <c r="D13" i="4"/>
  <c r="E13" i="4"/>
  <c r="F13" i="4"/>
  <c r="C13" i="4"/>
  <c r="F12" i="4"/>
  <c r="E12" i="4"/>
  <c r="F11" i="4"/>
  <c r="E11" i="4"/>
  <c r="D11" i="4"/>
  <c r="C11" i="4"/>
  <c r="D10" i="4"/>
  <c r="E10" i="4"/>
  <c r="F10" i="4"/>
  <c r="C10" i="4"/>
  <c r="D7" i="4"/>
  <c r="E7" i="4"/>
  <c r="F7" i="4"/>
  <c r="C7" i="4"/>
  <c r="K6" i="3"/>
  <c r="L6" i="3"/>
  <c r="M6" i="3"/>
  <c r="J6" i="3"/>
  <c r="D21" i="5" l="1"/>
  <c r="J8" i="3"/>
  <c r="J7" i="3"/>
  <c r="J9" i="3" s="1"/>
  <c r="C37" i="5" s="1"/>
  <c r="M8" i="3"/>
  <c r="M7" i="3"/>
  <c r="M9" i="3" s="1"/>
  <c r="F37" i="5" s="1"/>
  <c r="L8" i="3"/>
  <c r="L7" i="3"/>
  <c r="L9" i="3" s="1"/>
  <c r="E37" i="5" s="1"/>
  <c r="K8" i="3"/>
  <c r="K7" i="3"/>
  <c r="K9" i="3" s="1"/>
  <c r="D37" i="5" s="1"/>
  <c r="D18" i="5" l="1"/>
  <c r="D17" i="5"/>
  <c r="D6" i="5"/>
  <c r="E18" i="5"/>
  <c r="D9" i="6" s="1"/>
  <c r="E17" i="5"/>
  <c r="E6" i="5"/>
  <c r="F18" i="5"/>
  <c r="E9" i="6" s="1"/>
  <c r="F17" i="5"/>
  <c r="F6" i="5"/>
  <c r="C6" i="5"/>
  <c r="C18" i="5"/>
  <c r="B9" i="6" s="1"/>
  <c r="C17" i="5"/>
  <c r="E21" i="5"/>
  <c r="K22" i="3"/>
  <c r="K23" i="3"/>
  <c r="K21" i="3"/>
  <c r="K25" i="3" s="1"/>
  <c r="L22" i="3"/>
  <c r="L23" i="3"/>
  <c r="L21" i="3"/>
  <c r="L25" i="3" s="1"/>
  <c r="M22" i="3"/>
  <c r="M23" i="3"/>
  <c r="M21" i="3"/>
  <c r="M25" i="3" s="1"/>
  <c r="J22" i="3"/>
  <c r="J23" i="3"/>
  <c r="J21" i="3"/>
  <c r="J25" i="3" s="1"/>
  <c r="K13" i="3"/>
  <c r="K14" i="3"/>
  <c r="K12" i="3"/>
  <c r="K15" i="3" s="1"/>
  <c r="K17" i="3" s="1"/>
  <c r="K18" i="3" s="1"/>
  <c r="L13" i="3"/>
  <c r="L14" i="3"/>
  <c r="L12" i="3"/>
  <c r="L15" i="3" s="1"/>
  <c r="L17" i="3" s="1"/>
  <c r="L18" i="3" s="1"/>
  <c r="M13" i="3"/>
  <c r="M14" i="3"/>
  <c r="M12" i="3"/>
  <c r="M15" i="3" s="1"/>
  <c r="M17" i="3" s="1"/>
  <c r="M18" i="3" s="1"/>
  <c r="J14" i="3"/>
  <c r="J13" i="3"/>
  <c r="J12" i="3"/>
  <c r="J15" i="3" s="1"/>
  <c r="J17" i="3" s="1"/>
  <c r="J18" i="3" s="1"/>
  <c r="J27" i="3" l="1"/>
  <c r="M27" i="3"/>
  <c r="L27" i="3"/>
  <c r="K27" i="3"/>
  <c r="B8" i="6"/>
  <c r="C19" i="5"/>
  <c r="C23" i="5" s="1"/>
  <c r="C7" i="6"/>
  <c r="B7" i="6"/>
  <c r="B10" i="6" s="1"/>
  <c r="B15" i="6" s="1"/>
  <c r="B22" i="6" s="1"/>
  <c r="C5" i="5" s="1"/>
  <c r="E8" i="6"/>
  <c r="F19" i="5"/>
  <c r="E7" i="6"/>
  <c r="E10" i="6" s="1"/>
  <c r="E15" i="6" s="1"/>
  <c r="E22" i="6" s="1"/>
  <c r="D8" i="6"/>
  <c r="E19" i="5"/>
  <c r="D7" i="6"/>
  <c r="D10" i="6" s="1"/>
  <c r="D15" i="6" s="1"/>
  <c r="D22" i="6" s="1"/>
  <c r="C8" i="6"/>
  <c r="D19" i="5"/>
  <c r="D23" i="5" s="1"/>
  <c r="C9" i="6"/>
  <c r="E23" i="5"/>
  <c r="F21" i="5"/>
  <c r="F23" i="5" s="1"/>
  <c r="C7" i="5" l="1"/>
  <c r="C13" i="5" s="1"/>
  <c r="C10" i="6"/>
  <c r="C15" i="6" s="1"/>
  <c r="C22" i="6" s="1"/>
  <c r="D5" i="5" s="1"/>
  <c r="K38" i="3"/>
  <c r="K31" i="3"/>
  <c r="K33" i="3" s="1"/>
  <c r="K35" i="3" s="1"/>
  <c r="K36" i="3" s="1"/>
  <c r="L38" i="3"/>
  <c r="L31" i="3"/>
  <c r="L33" i="3" s="1"/>
  <c r="L35" i="3" s="1"/>
  <c r="L36" i="3" s="1"/>
  <c r="M38" i="3"/>
  <c r="M31" i="3"/>
  <c r="M33" i="3" s="1"/>
  <c r="M35" i="3" s="1"/>
  <c r="M36" i="3" s="1"/>
  <c r="J38" i="3"/>
  <c r="J31" i="3"/>
  <c r="J33" i="3" s="1"/>
  <c r="J35" i="3" s="1"/>
  <c r="J36" i="3" l="1"/>
  <c r="C28" i="5"/>
  <c r="E5" i="5"/>
  <c r="D7" i="5"/>
  <c r="D13" i="5" s="1"/>
  <c r="F5" i="5" l="1"/>
  <c r="F7" i="5" s="1"/>
  <c r="F13" i="5" s="1"/>
  <c r="E7" i="5"/>
  <c r="E13" i="5" s="1"/>
  <c r="D28" i="5"/>
  <c r="C29" i="5"/>
  <c r="C31" i="5" s="1"/>
  <c r="C33" i="5" s="1"/>
  <c r="E28" i="5" l="1"/>
  <c r="D29" i="5"/>
  <c r="D31" i="5" s="1"/>
  <c r="D33" i="5" s="1"/>
  <c r="F28" i="5" l="1"/>
  <c r="F29" i="5" s="1"/>
  <c r="F31" i="5" s="1"/>
  <c r="F33" i="5" s="1"/>
  <c r="E29" i="5"/>
  <c r="E31" i="5" s="1"/>
  <c r="E33" i="5" s="1"/>
</calcChain>
</file>

<file path=xl/sharedStrings.xml><?xml version="1.0" encoding="utf-8"?>
<sst xmlns="http://schemas.openxmlformats.org/spreadsheetml/2006/main" count="134" uniqueCount="102">
  <si>
    <t>Capex &amp; Depreciation</t>
  </si>
  <si>
    <t>Useful Life (Years)</t>
  </si>
  <si>
    <t>Year 1</t>
  </si>
  <si>
    <t>Year 2</t>
  </si>
  <si>
    <t>Year 3</t>
  </si>
  <si>
    <t>Year 4</t>
  </si>
  <si>
    <t xml:space="preserve">Capex </t>
  </si>
  <si>
    <t>Laptops</t>
  </si>
  <si>
    <t xml:space="preserve">Custom Software Apps </t>
  </si>
  <si>
    <t>New Ovens</t>
  </si>
  <si>
    <t>Total Capex</t>
  </si>
  <si>
    <t>Depreciation</t>
  </si>
  <si>
    <t>Total D&amp;A (Depreciation &amp; Amortization)</t>
  </si>
  <si>
    <t>Mail Order Cookie Company</t>
  </si>
  <si>
    <t>Mail Order Cookie  Company</t>
  </si>
  <si>
    <t>Income  Statement</t>
  </si>
  <si>
    <t>1st Year</t>
  </si>
  <si>
    <t>2nd Year</t>
  </si>
  <si>
    <t>3rd Year</t>
  </si>
  <si>
    <t>4th Year</t>
  </si>
  <si>
    <t xml:space="preserve">Income Statement </t>
  </si>
  <si>
    <t xml:space="preserve">4th Year </t>
  </si>
  <si>
    <t>MY ASSUMPTIONS</t>
  </si>
  <si>
    <t> </t>
  </si>
  <si>
    <t>Revenue</t>
  </si>
  <si>
    <t>Gross Revenue</t>
  </si>
  <si>
    <t>New Customers</t>
  </si>
  <si>
    <t>Refunds</t>
  </si>
  <si>
    <t>AOV (Average Order Value)</t>
  </si>
  <si>
    <t>Discounts</t>
  </si>
  <si>
    <t>Refunds (as % revenue)</t>
  </si>
  <si>
    <t>Net Revenues</t>
  </si>
  <si>
    <t>COGS (Cost of goods sold)</t>
  </si>
  <si>
    <t>COGS (Cost of Goods Sold)</t>
  </si>
  <si>
    <t>Product (Material Cost)</t>
  </si>
  <si>
    <t>Product (Materials cost)</t>
  </si>
  <si>
    <t>Fullfillment</t>
  </si>
  <si>
    <t>Merchant Services</t>
  </si>
  <si>
    <t>Total COGS</t>
  </si>
  <si>
    <t>Operating Expenses</t>
  </si>
  <si>
    <t>Gross Margin</t>
  </si>
  <si>
    <t>HR</t>
  </si>
  <si>
    <t>GM %</t>
  </si>
  <si>
    <t>Marketing</t>
  </si>
  <si>
    <t>Misc</t>
  </si>
  <si>
    <t>Depreciation (other model)</t>
  </si>
  <si>
    <t>Interest on Debt (other model)</t>
  </si>
  <si>
    <t>Tax Rate</t>
  </si>
  <si>
    <t>Total Operating Expenses</t>
  </si>
  <si>
    <t>Operating Income</t>
  </si>
  <si>
    <t>Interest (other model)</t>
  </si>
  <si>
    <t>NI (Net Income) Before Tax</t>
  </si>
  <si>
    <t>Taxes</t>
  </si>
  <si>
    <t>Net Income</t>
  </si>
  <si>
    <t>NI%</t>
  </si>
  <si>
    <t>EBITDA</t>
  </si>
  <si>
    <t>Balance Sheet</t>
  </si>
  <si>
    <t>Dec 31-Year 0</t>
  </si>
  <si>
    <t xml:space="preserve"> Historicals </t>
  </si>
  <si>
    <t>ASSETS</t>
  </si>
  <si>
    <t>Cash</t>
  </si>
  <si>
    <t>Account Receivable (AR)</t>
  </si>
  <si>
    <t>Total Current Assets</t>
  </si>
  <si>
    <t>Fixed Assets</t>
  </si>
  <si>
    <t>Accumulated Depreciation</t>
  </si>
  <si>
    <t>Net Fixed Assets</t>
  </si>
  <si>
    <t>Total Assets</t>
  </si>
  <si>
    <t>LIABILITIES</t>
  </si>
  <si>
    <t>Accounts Payable (AP)</t>
  </si>
  <si>
    <t>Deferred Revenue</t>
  </si>
  <si>
    <t>Long Term Debt</t>
  </si>
  <si>
    <t>Total Liabilities</t>
  </si>
  <si>
    <t>EQUITY</t>
  </si>
  <si>
    <t>Common Stock</t>
  </si>
  <si>
    <t>Retained Earnings</t>
  </si>
  <si>
    <t>Total Shareholders Equity</t>
  </si>
  <si>
    <t>Liabilities &amp; Shareholders Equity</t>
  </si>
  <si>
    <t>Balance Check</t>
  </si>
  <si>
    <t>ASSUMPTIONS</t>
  </si>
  <si>
    <t>Net Revenue</t>
  </si>
  <si>
    <t>AR (% of revenue)</t>
  </si>
  <si>
    <t>AP (% of revenue)</t>
  </si>
  <si>
    <t>Net Borrowing (New Debt Taken On)</t>
  </si>
  <si>
    <t>Debt Payments</t>
  </si>
  <si>
    <t>Interest Rate</t>
  </si>
  <si>
    <t>Interest Payments</t>
  </si>
  <si>
    <t>Cash Flow Statement</t>
  </si>
  <si>
    <t>Operating Activities</t>
  </si>
  <si>
    <t>Depreciations</t>
  </si>
  <si>
    <t>Change in AR</t>
  </si>
  <si>
    <t>Change in AP</t>
  </si>
  <si>
    <t>Change in Def Rev</t>
  </si>
  <si>
    <t>Operating Cash Flow</t>
  </si>
  <si>
    <t>Investing Activities</t>
  </si>
  <si>
    <t>CapEx</t>
  </si>
  <si>
    <t>Free Cash Flow</t>
  </si>
  <si>
    <t>(op cashflow - Inv cashflow)</t>
  </si>
  <si>
    <t>Financing Activities</t>
  </si>
  <si>
    <t>Debt Repayment</t>
  </si>
  <si>
    <t>Net Borrowings</t>
  </si>
  <si>
    <t>NCF From Financing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</si>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</sst>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1" formatCode="_(* #,##0_);_(* \(#,##0\);_(* &quot;-&quot;_);_(@_)"/>
    <numFmt numFmtId="164" formatCode="_([$$-409]* #,##0.00_);_([$$-409]* \(#,##0.00\);_([$$-409]* &quot;-&quot;??_);_(@_)"/>
    <numFmt numFmtId="165" formatCode="_([$$-409]* #,##0_);_([$$-409]* \(#,##0\);_([$$-409]* &quot;-&quot;??_);_(@_)"/>
  </numFmts>
  <fonts count="2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E45B2"/>
      <name val="Calibri"/>
      <family val="2"/>
    </font>
    <font>
      <b/>
      <sz val="11"/>
      <color rgb="FF000000"/>
      <name val="Aptos Narrow"/>
      <scheme val="minor"/>
    </font>
    <font>
      <b/>
      <u/>
      <sz val="11"/>
      <color rgb="FF000000"/>
      <name val="Aptos Narrow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2"/>
      <color rgb="FFED7D31"/>
      <name val="Calibri"/>
      <family val="2"/>
    </font>
    <font>
      <sz val="12"/>
      <color rgb="FF0070C0"/>
      <name val="Calibri"/>
      <family val="2"/>
    </font>
    <font>
      <b/>
      <u/>
      <sz val="11"/>
      <color rgb="FF000000"/>
      <name val="Calibri"/>
      <family val="2"/>
    </font>
    <font>
      <sz val="11"/>
      <color theme="3" tint="0.499984740745262"/>
      <name val="Aptos Narrow"/>
      <family val="2"/>
      <scheme val="minor"/>
    </font>
    <font>
      <sz val="11"/>
      <color rgb="FF0070C0"/>
      <name val="Calibri"/>
      <family val="2"/>
    </font>
    <font>
      <b/>
      <sz val="11"/>
      <color rgb="FF000000"/>
      <name val="Calibri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/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7" fillId="2" borderId="0" xfId="0" applyFont="1" applyFill="1" applyBorder="1" applyAlignment="1"/>
    <xf numFmtId="0" fontId="8" fillId="0" borderId="0" xfId="0" applyFont="1" applyFill="1" applyBorder="1" applyAlignment="1"/>
    <xf numFmtId="0" fontId="2" fillId="0" borderId="1" xfId="0" applyFont="1" applyFill="1" applyBorder="1" applyAlignment="1"/>
    <xf numFmtId="0" fontId="9" fillId="0" borderId="0" xfId="0" applyFont="1" applyFill="1" applyBorder="1" applyAlignment="1"/>
    <xf numFmtId="3" fontId="9" fillId="0" borderId="0" xfId="0" applyNumberFormat="1" applyFont="1" applyFill="1" applyBorder="1" applyAlignment="1"/>
    <xf numFmtId="6" fontId="9" fillId="0" borderId="0" xfId="0" applyNumberFormat="1" applyFont="1" applyFill="1" applyBorder="1" applyAlignment="1"/>
    <xf numFmtId="9" fontId="9" fillId="0" borderId="0" xfId="0" applyNumberFormat="1" applyFont="1" applyFill="1" applyBorder="1" applyAlignment="1"/>
    <xf numFmtId="0" fontId="10" fillId="0" borderId="0" xfId="0" applyFont="1"/>
    <xf numFmtId="0" fontId="11" fillId="0" borderId="0" xfId="0" applyFont="1"/>
    <xf numFmtId="0" fontId="12" fillId="0" borderId="0" xfId="0" applyFont="1"/>
    <xf numFmtId="41" fontId="0" fillId="0" borderId="0" xfId="1" applyFont="1"/>
    <xf numFmtId="164" fontId="0" fillId="0" borderId="0" xfId="0" applyNumberFormat="1"/>
    <xf numFmtId="165" fontId="0" fillId="0" borderId="0" xfId="0" applyNumberFormat="1"/>
    <xf numFmtId="165" fontId="0" fillId="0" borderId="2" xfId="0" applyNumberFormat="1" applyBorder="1"/>
    <xf numFmtId="165" fontId="0" fillId="0" borderId="3" xfId="0" applyNumberFormat="1" applyBorder="1"/>
    <xf numFmtId="165" fontId="3" fillId="0" borderId="2" xfId="0" applyNumberFormat="1" applyFont="1" applyBorder="1"/>
    <xf numFmtId="165" fontId="3" fillId="0" borderId="0" xfId="0" applyNumberFormat="1" applyFont="1"/>
    <xf numFmtId="165" fontId="3" fillId="0" borderId="4" xfId="0" applyNumberFormat="1" applyFont="1" applyBorder="1"/>
    <xf numFmtId="9" fontId="13" fillId="0" borderId="0" xfId="0" applyNumberFormat="1" applyFont="1"/>
    <xf numFmtId="0" fontId="14" fillId="0" borderId="0" xfId="0" applyFont="1"/>
    <xf numFmtId="165" fontId="0" fillId="0" borderId="0" xfId="0" applyNumberFormat="1" applyFill="1"/>
    <xf numFmtId="0" fontId="7" fillId="0" borderId="0" xfId="0" applyFont="1" applyFill="1" applyBorder="1" applyAlignment="1"/>
    <xf numFmtId="0" fontId="15" fillId="0" borderId="0" xfId="0" applyFont="1" applyFill="1" applyBorder="1" applyAlignment="1"/>
    <xf numFmtId="0" fontId="17" fillId="0" borderId="0" xfId="0" applyFont="1" applyFill="1" applyBorder="1" applyAlignment="1"/>
    <xf numFmtId="9" fontId="18" fillId="0" borderId="0" xfId="0" applyNumberFormat="1" applyFont="1"/>
    <xf numFmtId="165" fontId="16" fillId="0" borderId="0" xfId="0" applyNumberFormat="1" applyFont="1" applyFill="1" applyBorder="1" applyAlignment="1"/>
    <xf numFmtId="165" fontId="8" fillId="0" borderId="5" xfId="0" applyNumberFormat="1" applyFont="1" applyFill="1" applyBorder="1" applyAlignment="1"/>
    <xf numFmtId="165" fontId="8" fillId="0" borderId="0" xfId="0" applyNumberFormat="1" applyFont="1" applyFill="1" applyBorder="1" applyAlignment="1"/>
    <xf numFmtId="165" fontId="8" fillId="3" borderId="6" xfId="0" applyNumberFormat="1" applyFont="1" applyFill="1" applyBorder="1" applyAlignment="1"/>
    <xf numFmtId="165" fontId="7" fillId="0" borderId="5" xfId="0" applyNumberFormat="1" applyFont="1" applyFill="1" applyBorder="1" applyAlignment="1"/>
    <xf numFmtId="165" fontId="8" fillId="0" borderId="6" xfId="0" applyNumberFormat="1" applyFont="1" applyFill="1" applyBorder="1" applyAlignment="1"/>
    <xf numFmtId="165" fontId="8" fillId="0" borderId="2" xfId="0" applyNumberFormat="1" applyFont="1" applyFill="1" applyBorder="1" applyAlignment="1"/>
    <xf numFmtId="0" fontId="19" fillId="0" borderId="0" xfId="0" applyFont="1" applyFill="1" applyBorder="1" applyAlignment="1"/>
    <xf numFmtId="6" fontId="19" fillId="0" borderId="0" xfId="0" applyNumberFormat="1" applyFont="1" applyFill="1" applyBorder="1" applyAlignment="1"/>
    <xf numFmtId="165" fontId="19" fillId="0" borderId="0" xfId="0" applyNumberFormat="1" applyFont="1" applyFill="1" applyBorder="1" applyAlignment="1"/>
    <xf numFmtId="165" fontId="0" fillId="4" borderId="0" xfId="0" applyNumberFormat="1" applyFill="1"/>
    <xf numFmtId="9" fontId="19" fillId="0" borderId="0" xfId="0" applyNumberFormat="1" applyFont="1" applyFill="1" applyBorder="1" applyAlignment="1"/>
    <xf numFmtId="0" fontId="0" fillId="0" borderId="3" xfId="0" applyFill="1" applyBorder="1"/>
    <xf numFmtId="165" fontId="1" fillId="0" borderId="0" xfId="0" applyNumberFormat="1" applyFont="1" applyFill="1" applyBorder="1" applyAlignment="1"/>
    <xf numFmtId="165" fontId="1" fillId="0" borderId="2" xfId="0" applyNumberFormat="1" applyFont="1" applyFill="1" applyBorder="1" applyAlignment="1"/>
    <xf numFmtId="0" fontId="20" fillId="0" borderId="0" xfId="0" applyFont="1" applyFill="1" applyBorder="1" applyAlignment="1"/>
    <xf numFmtId="6" fontId="21" fillId="0" borderId="0" xfId="0" applyNumberFormat="1" applyFont="1" applyFill="1" applyBorder="1" applyAlignment="1"/>
    <xf numFmtId="6" fontId="1" fillId="0" borderId="2" xfId="0" applyNumberFormat="1" applyFont="1" applyFill="1" applyBorder="1" applyAlignment="1"/>
    <xf numFmtId="0" fontId="10" fillId="0" borderId="0" xfId="0" applyFont="1" applyAlignment="1">
      <alignment horizontal="center"/>
    </xf>
    <xf numFmtId="0" fontId="0" fillId="5" borderId="0" xfId="0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78F8-355B-4461-98D7-77F318086860}">
  <dimension ref="A1:F13"/>
  <sheetViews>
    <sheetView workbookViewId="0">
      <selection activeCell="F7" sqref="F7"/>
    </sheetView>
  </sheetViews>
  <sheetFormatPr defaultRowHeight="15"/>
  <cols>
    <col min="1" max="1" width="36.140625" bestFit="1" customWidth="1"/>
    <col min="2" max="2" width="16.7109375" bestFit="1" customWidth="1"/>
    <col min="3" max="5" width="12.5703125" bestFit="1" customWidth="1"/>
    <col min="6" max="6" width="11.7109375" customWidth="1"/>
  </cols>
  <sheetData>
    <row r="1" spans="1:6">
      <c r="A1" s="14" t="s">
        <v>0</v>
      </c>
      <c r="B1" s="25" t="s">
        <v>1</v>
      </c>
      <c r="C1" s="15" t="s">
        <v>2</v>
      </c>
      <c r="D1" s="15" t="s">
        <v>3</v>
      </c>
      <c r="E1" s="14" t="s">
        <v>4</v>
      </c>
      <c r="F1" s="15" t="s">
        <v>5</v>
      </c>
    </row>
    <row r="3" spans="1:6">
      <c r="A3" s="15" t="s">
        <v>6</v>
      </c>
    </row>
    <row r="4" spans="1:6">
      <c r="A4" t="s">
        <v>7</v>
      </c>
      <c r="B4">
        <v>5</v>
      </c>
      <c r="C4" s="18">
        <v>50000</v>
      </c>
      <c r="D4" s="18"/>
      <c r="E4" s="18"/>
      <c r="F4" s="18"/>
    </row>
    <row r="5" spans="1:6">
      <c r="A5" t="s">
        <v>8</v>
      </c>
      <c r="B5">
        <v>3</v>
      </c>
      <c r="C5" s="18">
        <v>50000</v>
      </c>
      <c r="D5" s="18">
        <v>100000</v>
      </c>
      <c r="E5" s="18">
        <v>100000</v>
      </c>
      <c r="F5" s="18"/>
    </row>
    <row r="6" spans="1:6">
      <c r="A6" t="s">
        <v>9</v>
      </c>
      <c r="B6">
        <v>5</v>
      </c>
      <c r="C6" s="18"/>
      <c r="D6" s="18"/>
      <c r="E6" s="18">
        <v>30000</v>
      </c>
      <c r="F6" s="18"/>
    </row>
    <row r="7" spans="1:6">
      <c r="A7" s="13" t="s">
        <v>10</v>
      </c>
      <c r="C7" s="19">
        <f>SUM(C3:C6)</f>
        <v>100000</v>
      </c>
      <c r="D7" s="19">
        <f t="shared" ref="D7:F7" si="0">SUM(D3:D6)</f>
        <v>100000</v>
      </c>
      <c r="E7" s="19">
        <f t="shared" si="0"/>
        <v>130000</v>
      </c>
      <c r="F7" s="19">
        <f t="shared" si="0"/>
        <v>0</v>
      </c>
    </row>
    <row r="9" spans="1:6">
      <c r="A9" s="15" t="s">
        <v>11</v>
      </c>
    </row>
    <row r="10" spans="1:6">
      <c r="A10" t="s">
        <v>7</v>
      </c>
      <c r="C10" s="18">
        <f>$C$4/$B$4</f>
        <v>10000</v>
      </c>
      <c r="D10" s="18">
        <f t="shared" ref="D10:F10" si="1">$C$4/$B$4</f>
        <v>10000</v>
      </c>
      <c r="E10" s="18">
        <f t="shared" si="1"/>
        <v>10000</v>
      </c>
      <c r="F10" s="18">
        <f t="shared" si="1"/>
        <v>10000</v>
      </c>
    </row>
    <row r="11" spans="1:6">
      <c r="A11" t="s">
        <v>8</v>
      </c>
      <c r="C11" s="18">
        <f>$C$5/$B$5</f>
        <v>16666.666666666668</v>
      </c>
      <c r="D11" s="18">
        <f>$C$5/$B$5+$D$5/$B$5</f>
        <v>50000</v>
      </c>
      <c r="E11" s="18">
        <f>$C$5/$B$5+$D$5/$B$5+$E$5/$B$5</f>
        <v>83333.333333333343</v>
      </c>
      <c r="F11" s="18">
        <f>$D$5/$B$5+$E$5/$B$5</f>
        <v>66666.666666666672</v>
      </c>
    </row>
    <row r="12" spans="1:6">
      <c r="A12" t="s">
        <v>9</v>
      </c>
      <c r="E12" s="18">
        <f>$E$6/$B$6</f>
        <v>6000</v>
      </c>
      <c r="F12" s="18">
        <f>$E$6/$B$6</f>
        <v>6000</v>
      </c>
    </row>
    <row r="13" spans="1:6">
      <c r="A13" s="13" t="s">
        <v>12</v>
      </c>
      <c r="C13" s="19">
        <f>SUM(C10:C12)</f>
        <v>26666.666666666668</v>
      </c>
      <c r="D13" s="19">
        <f t="shared" ref="D13:F13" si="2">SUM(D10:D12)</f>
        <v>60000</v>
      </c>
      <c r="E13" s="19">
        <f t="shared" si="2"/>
        <v>99333.333333333343</v>
      </c>
      <c r="F13" s="19">
        <f t="shared" si="2"/>
        <v>82666.666666666672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5513-8A36-4DC7-B3D0-74A699EE1B44}">
  <dimension ref="A1:N38"/>
  <sheetViews>
    <sheetView workbookViewId="0">
      <selection activeCell="G9" sqref="G9"/>
    </sheetView>
  </sheetViews>
  <sheetFormatPr defaultRowHeight="15"/>
  <cols>
    <col min="1" max="1" width="33" bestFit="1" customWidth="1"/>
    <col min="3" max="3" width="9.28515625" bestFit="1" customWidth="1"/>
    <col min="9" max="9" width="26" bestFit="1" customWidth="1"/>
    <col min="10" max="12" width="14.140625" bestFit="1" customWidth="1"/>
    <col min="13" max="13" width="15.28515625" bestFit="1" customWidth="1"/>
  </cols>
  <sheetData>
    <row r="1" spans="1:13" ht="18.75">
      <c r="A1" s="4" t="s">
        <v>13</v>
      </c>
      <c r="B1" s="1"/>
      <c r="C1" s="1"/>
      <c r="D1" s="1"/>
      <c r="E1" s="1"/>
      <c r="F1" s="1"/>
      <c r="G1" s="1"/>
      <c r="I1" s="49" t="s">
        <v>14</v>
      </c>
      <c r="J1" s="49"/>
      <c r="K1" s="49"/>
      <c r="L1" s="49"/>
      <c r="M1" s="49"/>
    </row>
    <row r="2" spans="1:13" ht="15.7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1"/>
      <c r="G2" s="1"/>
      <c r="I2" s="14" t="s">
        <v>20</v>
      </c>
      <c r="J2" s="15" t="s">
        <v>16</v>
      </c>
      <c r="K2" s="14" t="s">
        <v>17</v>
      </c>
      <c r="L2" s="14" t="s">
        <v>18</v>
      </c>
      <c r="M2" s="14" t="s">
        <v>21</v>
      </c>
    </row>
    <row r="3" spans="1:13">
      <c r="A3" s="1"/>
      <c r="B3" s="1"/>
      <c r="C3" s="1"/>
      <c r="D3" s="1"/>
      <c r="E3" s="1"/>
      <c r="F3" s="1"/>
      <c r="G3" s="1"/>
    </row>
    <row r="4" spans="1:13" ht="15.75">
      <c r="A4" s="6" t="s">
        <v>22</v>
      </c>
      <c r="B4" s="6" t="s">
        <v>23</v>
      </c>
      <c r="C4" s="6" t="s">
        <v>23</v>
      </c>
      <c r="D4" s="6" t="s">
        <v>23</v>
      </c>
      <c r="E4" s="6" t="s">
        <v>23</v>
      </c>
      <c r="F4" s="6" t="s">
        <v>23</v>
      </c>
      <c r="G4" s="6" t="s">
        <v>23</v>
      </c>
      <c r="I4" s="15" t="s">
        <v>24</v>
      </c>
    </row>
    <row r="5" spans="1:13" ht="15.75">
      <c r="A5" s="1"/>
      <c r="B5" s="7"/>
      <c r="C5" s="7"/>
      <c r="D5" s="7"/>
      <c r="E5" s="7"/>
      <c r="F5" s="7"/>
      <c r="G5" s="7"/>
    </row>
    <row r="6" spans="1:13" ht="15.75">
      <c r="A6" s="8" t="s">
        <v>24</v>
      </c>
      <c r="B6" s="7"/>
      <c r="C6" s="7"/>
      <c r="D6" s="7"/>
      <c r="E6" s="7"/>
      <c r="F6" s="7"/>
      <c r="G6" s="7"/>
      <c r="I6" t="s">
        <v>25</v>
      </c>
      <c r="J6" s="17">
        <f>B7*B8</f>
        <v>1750000</v>
      </c>
      <c r="K6" s="17">
        <f t="shared" ref="K6:M6" si="0">C7*C8</f>
        <v>2750000</v>
      </c>
      <c r="L6" s="17">
        <f t="shared" si="0"/>
        <v>5500000</v>
      </c>
      <c r="M6" s="17">
        <f t="shared" si="0"/>
        <v>11250000</v>
      </c>
    </row>
    <row r="7" spans="1:13" ht="15.75">
      <c r="A7" s="1" t="s">
        <v>26</v>
      </c>
      <c r="B7" s="10">
        <v>70000</v>
      </c>
      <c r="C7" s="10">
        <v>110000</v>
      </c>
      <c r="D7" s="10">
        <v>220000</v>
      </c>
      <c r="E7" s="10">
        <v>450000</v>
      </c>
      <c r="F7" s="7"/>
      <c r="G7" s="7"/>
      <c r="I7" t="s">
        <v>27</v>
      </c>
      <c r="J7" s="16">
        <f>-J$6*B9</f>
        <v>-87500</v>
      </c>
      <c r="K7" s="16">
        <f t="shared" ref="K7:M7" si="1">-K$6*C9</f>
        <v>-137500</v>
      </c>
      <c r="L7" s="16">
        <f t="shared" si="1"/>
        <v>-275000</v>
      </c>
      <c r="M7" s="16">
        <f t="shared" si="1"/>
        <v>-562500</v>
      </c>
    </row>
    <row r="8" spans="1:13" ht="15.75">
      <c r="A8" s="1" t="s">
        <v>28</v>
      </c>
      <c r="B8" s="11">
        <v>25</v>
      </c>
      <c r="C8" s="11">
        <v>25</v>
      </c>
      <c r="D8" s="11">
        <v>25</v>
      </c>
      <c r="E8" s="11">
        <v>25</v>
      </c>
      <c r="F8" s="7"/>
      <c r="G8" s="7"/>
      <c r="I8" t="s">
        <v>29</v>
      </c>
      <c r="J8" s="16">
        <f>-J$6*B10</f>
        <v>-140000</v>
      </c>
      <c r="K8" s="16">
        <f t="shared" ref="K8:M8" si="2">-K$6*C10</f>
        <v>-220000</v>
      </c>
      <c r="L8" s="16">
        <f t="shared" si="2"/>
        <v>-440000</v>
      </c>
      <c r="M8" s="16">
        <f t="shared" si="2"/>
        <v>-900000</v>
      </c>
    </row>
    <row r="9" spans="1:13" ht="15.75">
      <c r="A9" s="1" t="s">
        <v>30</v>
      </c>
      <c r="B9" s="12">
        <v>0.05</v>
      </c>
      <c r="C9" s="12">
        <v>0.05</v>
      </c>
      <c r="D9" s="12">
        <v>0.05</v>
      </c>
      <c r="E9" s="12">
        <v>0.05</v>
      </c>
      <c r="F9" s="7"/>
      <c r="G9" s="7"/>
      <c r="I9" s="13" t="s">
        <v>31</v>
      </c>
      <c r="J9" s="21">
        <f>SUM(J6:J8)</f>
        <v>1522500</v>
      </c>
      <c r="K9" s="21">
        <f>SUM(K6:K8)</f>
        <v>2392500</v>
      </c>
      <c r="L9" s="21">
        <f>SUM(L6:L8)</f>
        <v>4785000</v>
      </c>
      <c r="M9" s="21">
        <f>SUM(M6:M8)</f>
        <v>9787500</v>
      </c>
    </row>
    <row r="10" spans="1:13" ht="15.75">
      <c r="A10" s="1" t="s">
        <v>29</v>
      </c>
      <c r="B10" s="12">
        <v>0.08</v>
      </c>
      <c r="C10" s="12">
        <v>0.08</v>
      </c>
      <c r="D10" s="12">
        <v>0.08</v>
      </c>
      <c r="E10" s="12">
        <v>0.08</v>
      </c>
      <c r="F10" s="7"/>
      <c r="G10" s="7"/>
    </row>
    <row r="11" spans="1:13" ht="15.75">
      <c r="A11" s="1"/>
      <c r="B11" s="9"/>
      <c r="C11" s="9"/>
      <c r="D11" s="9"/>
      <c r="E11" s="9"/>
      <c r="F11" s="7"/>
      <c r="G11" s="7"/>
      <c r="I11" s="14" t="s">
        <v>32</v>
      </c>
    </row>
    <row r="12" spans="1:13" ht="15.75">
      <c r="A12" s="8" t="s">
        <v>33</v>
      </c>
      <c r="B12" s="9"/>
      <c r="C12" s="9"/>
      <c r="D12" s="9"/>
      <c r="E12" s="9"/>
      <c r="F12" s="7"/>
      <c r="G12" s="7"/>
      <c r="I12" t="s">
        <v>34</v>
      </c>
      <c r="J12" s="18">
        <f>J$9*B13</f>
        <v>456750</v>
      </c>
      <c r="K12" s="18">
        <f t="shared" ref="K12:M12" si="3">K$9*C13</f>
        <v>717750</v>
      </c>
      <c r="L12" s="18">
        <f t="shared" si="3"/>
        <v>1435500</v>
      </c>
      <c r="M12" s="18">
        <f t="shared" si="3"/>
        <v>2936250</v>
      </c>
    </row>
    <row r="13" spans="1:13" ht="15.75">
      <c r="A13" s="1" t="s">
        <v>35</v>
      </c>
      <c r="B13" s="12">
        <v>0.3</v>
      </c>
      <c r="C13" s="12">
        <v>0.3</v>
      </c>
      <c r="D13" s="12">
        <v>0.3</v>
      </c>
      <c r="E13" s="12">
        <v>0.3</v>
      </c>
      <c r="F13" s="7"/>
      <c r="G13" s="7"/>
      <c r="I13" t="s">
        <v>36</v>
      </c>
      <c r="J13" s="18">
        <f t="shared" ref="J13" si="4">J$9*B14</f>
        <v>106575.00000000001</v>
      </c>
      <c r="K13" s="18">
        <f t="shared" ref="K13:K14" si="5">K$9*C14</f>
        <v>167475.00000000003</v>
      </c>
      <c r="L13" s="18">
        <f t="shared" ref="L13:L14" si="6">L$9*D14</f>
        <v>334950.00000000006</v>
      </c>
      <c r="M13" s="18">
        <f t="shared" ref="M13:M14" si="7">M$9*E14</f>
        <v>685125.00000000012</v>
      </c>
    </row>
    <row r="14" spans="1:13" ht="15.75">
      <c r="A14" s="1" t="s">
        <v>36</v>
      </c>
      <c r="B14" s="12">
        <v>7.0000000000000007E-2</v>
      </c>
      <c r="C14" s="12">
        <v>7.0000000000000007E-2</v>
      </c>
      <c r="D14" s="12">
        <v>7.0000000000000007E-2</v>
      </c>
      <c r="E14" s="12">
        <v>7.0000000000000007E-2</v>
      </c>
      <c r="F14" s="7"/>
      <c r="G14" s="7"/>
      <c r="I14" t="s">
        <v>37</v>
      </c>
      <c r="J14" s="20">
        <f>J$9*B15</f>
        <v>152250</v>
      </c>
      <c r="K14" s="20">
        <f t="shared" si="5"/>
        <v>239250</v>
      </c>
      <c r="L14" s="20">
        <f t="shared" si="6"/>
        <v>478500</v>
      </c>
      <c r="M14" s="20">
        <f t="shared" si="7"/>
        <v>978750</v>
      </c>
    </row>
    <row r="15" spans="1:13" ht="15.75">
      <c r="A15" s="1" t="s">
        <v>37</v>
      </c>
      <c r="B15" s="12">
        <v>0.1</v>
      </c>
      <c r="C15" s="12">
        <v>0.1</v>
      </c>
      <c r="D15" s="12">
        <v>0.1</v>
      </c>
      <c r="E15" s="12">
        <v>0.1</v>
      </c>
      <c r="F15" s="7"/>
      <c r="G15" s="7"/>
      <c r="I15" s="3" t="s">
        <v>38</v>
      </c>
      <c r="J15" s="22">
        <f>SUM(J12:J14)</f>
        <v>715575</v>
      </c>
      <c r="K15" s="22">
        <f>SUM(K12:K14)</f>
        <v>1124475</v>
      </c>
      <c r="L15" s="22">
        <f>SUM(L12:L14)</f>
        <v>2248950</v>
      </c>
      <c r="M15" s="22">
        <f>SUM(M12:M14)</f>
        <v>4600125</v>
      </c>
    </row>
    <row r="16" spans="1:13" ht="15.75">
      <c r="A16" s="1"/>
      <c r="B16" s="9"/>
      <c r="C16" s="9"/>
      <c r="D16" s="9"/>
      <c r="E16" s="9"/>
      <c r="F16" s="7"/>
      <c r="G16" s="7"/>
    </row>
    <row r="17" spans="1:14" ht="15.75">
      <c r="A17" s="8" t="s">
        <v>39</v>
      </c>
      <c r="B17" s="9"/>
      <c r="C17" s="9"/>
      <c r="D17" s="9"/>
      <c r="E17" s="9"/>
      <c r="F17" s="7"/>
      <c r="G17" s="7"/>
      <c r="I17" s="13" t="s">
        <v>40</v>
      </c>
      <c r="J17" s="23">
        <f>J9-J15</f>
        <v>806925</v>
      </c>
      <c r="K17" s="23">
        <f t="shared" ref="K17:M17" si="8">K9-K15</f>
        <v>1268025</v>
      </c>
      <c r="L17" s="23">
        <f t="shared" si="8"/>
        <v>2536050</v>
      </c>
      <c r="M17" s="23">
        <f t="shared" si="8"/>
        <v>5187375</v>
      </c>
    </row>
    <row r="18" spans="1:14" ht="15.75">
      <c r="A18" s="1" t="s">
        <v>41</v>
      </c>
      <c r="B18" s="12">
        <v>0.25</v>
      </c>
      <c r="C18" s="12">
        <v>0.25</v>
      </c>
      <c r="D18" s="12">
        <v>0.25</v>
      </c>
      <c r="E18" s="12">
        <v>0.25</v>
      </c>
      <c r="F18" s="7"/>
      <c r="G18" s="7"/>
      <c r="I18" t="s">
        <v>42</v>
      </c>
      <c r="J18" s="24">
        <f>J17/J9</f>
        <v>0.53</v>
      </c>
      <c r="K18" s="24">
        <f t="shared" ref="K18:M18" si="9">K17/K9</f>
        <v>0.53</v>
      </c>
      <c r="L18" s="24">
        <f t="shared" si="9"/>
        <v>0.53</v>
      </c>
      <c r="M18" s="24">
        <f t="shared" si="9"/>
        <v>0.53</v>
      </c>
    </row>
    <row r="19" spans="1:14" ht="15.75">
      <c r="A19" s="1" t="s">
        <v>43</v>
      </c>
      <c r="B19" s="12">
        <v>0.1</v>
      </c>
      <c r="C19" s="12">
        <v>0.1</v>
      </c>
      <c r="D19" s="12">
        <v>0.1</v>
      </c>
      <c r="E19" s="12">
        <v>0.1</v>
      </c>
      <c r="F19" s="7"/>
      <c r="G19" s="7"/>
    </row>
    <row r="20" spans="1:14" ht="15.75">
      <c r="A20" s="1" t="s">
        <v>44</v>
      </c>
      <c r="B20" s="12">
        <v>0.05</v>
      </c>
      <c r="C20" s="12">
        <v>0.05</v>
      </c>
      <c r="D20" s="12">
        <v>0.05</v>
      </c>
      <c r="E20" s="12">
        <v>0.05</v>
      </c>
      <c r="F20" s="7"/>
      <c r="G20" s="7"/>
      <c r="I20" s="15" t="s">
        <v>39</v>
      </c>
    </row>
    <row r="21" spans="1:14" ht="15.75">
      <c r="A21" s="1" t="s">
        <v>45</v>
      </c>
      <c r="B21" s="9"/>
      <c r="C21" s="9"/>
      <c r="D21" s="9"/>
      <c r="E21" s="9"/>
      <c r="F21" s="7"/>
      <c r="G21" s="7"/>
      <c r="I21" t="s">
        <v>41</v>
      </c>
      <c r="J21" s="18">
        <f>J$9*B18</f>
        <v>380625</v>
      </c>
      <c r="K21" s="18">
        <f t="shared" ref="K21:M21" si="10">K$9*C18</f>
        <v>598125</v>
      </c>
      <c r="L21" s="18">
        <f t="shared" si="10"/>
        <v>1196250</v>
      </c>
      <c r="M21" s="18">
        <f t="shared" si="10"/>
        <v>2446875</v>
      </c>
    </row>
    <row r="22" spans="1:14" ht="15.75">
      <c r="A22" s="1"/>
      <c r="B22" s="9"/>
      <c r="C22" s="9"/>
      <c r="D22" s="9"/>
      <c r="E22" s="9"/>
      <c r="F22" s="7"/>
      <c r="G22" s="7"/>
      <c r="I22" t="s">
        <v>43</v>
      </c>
      <c r="J22" s="18">
        <f t="shared" ref="J22:J23" si="11">J$9*B19</f>
        <v>152250</v>
      </c>
      <c r="K22" s="18">
        <f t="shared" ref="K22:K23" si="12">K$9*C19</f>
        <v>239250</v>
      </c>
      <c r="L22" s="18">
        <f t="shared" ref="L22:L23" si="13">L$9*D19</f>
        <v>478500</v>
      </c>
      <c r="M22" s="18">
        <f t="shared" ref="M22:M23" si="14">M$9*E19</f>
        <v>978750</v>
      </c>
    </row>
    <row r="23" spans="1:14" ht="15.75">
      <c r="A23" s="1" t="s">
        <v>46</v>
      </c>
      <c r="B23" s="9"/>
      <c r="C23" s="9"/>
      <c r="D23" s="9"/>
      <c r="E23" s="9"/>
      <c r="F23" s="7"/>
      <c r="G23" s="7"/>
      <c r="I23" t="s">
        <v>44</v>
      </c>
      <c r="J23" s="26">
        <f t="shared" si="11"/>
        <v>76125</v>
      </c>
      <c r="K23" s="26">
        <f t="shared" si="12"/>
        <v>119625</v>
      </c>
      <c r="L23" s="26">
        <f t="shared" si="13"/>
        <v>239250</v>
      </c>
      <c r="M23" s="26">
        <f t="shared" si="14"/>
        <v>489375</v>
      </c>
    </row>
    <row r="24" spans="1:14" ht="15.75">
      <c r="A24" s="1"/>
      <c r="B24" s="9"/>
      <c r="C24" s="9"/>
      <c r="D24" s="9"/>
      <c r="E24" s="9"/>
      <c r="F24" s="7"/>
      <c r="G24" s="7"/>
      <c r="I24" t="s">
        <v>45</v>
      </c>
      <c r="J24" s="26">
        <f>'Capex and Depreciation Schedule'!C13</f>
        <v>26666.666666666668</v>
      </c>
      <c r="K24" s="26">
        <f>'Capex and Depreciation Schedule'!D13</f>
        <v>60000</v>
      </c>
      <c r="L24" s="26">
        <f>'Capex and Depreciation Schedule'!E13</f>
        <v>99333.333333333343</v>
      </c>
      <c r="M24" s="26">
        <f>'Capex and Depreciation Schedule'!F13</f>
        <v>82666.666666666672</v>
      </c>
    </row>
    <row r="25" spans="1:14" ht="15.75">
      <c r="A25" s="1" t="s">
        <v>47</v>
      </c>
      <c r="B25" s="12">
        <v>0.22</v>
      </c>
      <c r="C25" s="12">
        <v>0.22</v>
      </c>
      <c r="D25" s="12">
        <v>0.22</v>
      </c>
      <c r="E25" s="12">
        <v>0.22</v>
      </c>
      <c r="F25" s="7"/>
      <c r="G25" s="7"/>
      <c r="I25" s="3" t="s">
        <v>48</v>
      </c>
      <c r="J25" s="21">
        <f>SUM(J20:J24)</f>
        <v>635666.66666666663</v>
      </c>
      <c r="K25" s="21">
        <f t="shared" ref="K25:M25" si="15">SUM(K20:K24)</f>
        <v>1017000</v>
      </c>
      <c r="L25" s="21">
        <f t="shared" si="15"/>
        <v>2013333.3333333333</v>
      </c>
      <c r="M25" s="21">
        <f t="shared" si="15"/>
        <v>3997666.6666666665</v>
      </c>
    </row>
    <row r="26" spans="1:14">
      <c r="A26" s="1"/>
      <c r="B26" s="1"/>
      <c r="C26" s="1"/>
      <c r="D26" s="1"/>
      <c r="E26" s="1"/>
      <c r="F26" s="1"/>
      <c r="G26" s="1"/>
    </row>
    <row r="27" spans="1:14">
      <c r="A27" s="1"/>
      <c r="B27" s="1"/>
      <c r="C27" s="1"/>
      <c r="D27" s="1"/>
      <c r="E27" s="1"/>
      <c r="F27" s="1"/>
      <c r="G27" s="1"/>
      <c r="I27" s="13" t="s">
        <v>49</v>
      </c>
      <c r="J27" s="22">
        <f>J17-J25</f>
        <v>171258.33333333337</v>
      </c>
      <c r="K27" s="22">
        <f t="shared" ref="K27:M27" si="16">K17-K25</f>
        <v>251025</v>
      </c>
      <c r="L27" s="22">
        <f t="shared" si="16"/>
        <v>522716.66666666674</v>
      </c>
      <c r="M27" s="22">
        <f t="shared" si="16"/>
        <v>1189708.3333333335</v>
      </c>
    </row>
    <row r="28" spans="1:14">
      <c r="A28" s="1"/>
      <c r="B28" s="1"/>
      <c r="C28" s="1"/>
      <c r="D28" s="1"/>
      <c r="E28" s="1"/>
      <c r="F28" s="1"/>
      <c r="G28" s="1"/>
    </row>
    <row r="29" spans="1:14">
      <c r="A29" s="1"/>
      <c r="B29" s="1"/>
      <c r="C29" s="1"/>
      <c r="D29" s="1"/>
      <c r="E29" s="1"/>
      <c r="F29" s="1"/>
      <c r="G29" s="1"/>
      <c r="I29" s="13" t="s">
        <v>50</v>
      </c>
      <c r="J29" s="43">
        <f>'Balance sheet'!C45</f>
        <v>175000.00000000003</v>
      </c>
      <c r="K29" s="43">
        <f>'Balance sheet'!D45</f>
        <v>196000.00000000003</v>
      </c>
      <c r="L29" s="43">
        <f>'Balance sheet'!E45</f>
        <v>147000</v>
      </c>
      <c r="M29" s="43">
        <f>'Balance sheet'!F45</f>
        <v>98000.000000000015</v>
      </c>
    </row>
    <row r="30" spans="1:14">
      <c r="A30" s="1"/>
      <c r="B30" s="1"/>
      <c r="C30" s="1"/>
      <c r="D30" s="1"/>
      <c r="E30" s="1"/>
      <c r="F30" s="1"/>
      <c r="G30" s="1"/>
    </row>
    <row r="31" spans="1:14">
      <c r="A31" s="1"/>
      <c r="B31" s="1"/>
      <c r="C31" s="1"/>
      <c r="D31" s="1"/>
      <c r="E31" s="1"/>
      <c r="F31" s="1"/>
      <c r="G31" s="1"/>
      <c r="I31" s="3" t="s">
        <v>51</v>
      </c>
      <c r="J31" s="22">
        <f>J27-J29</f>
        <v>-3741.666666666657</v>
      </c>
      <c r="K31" s="22">
        <f t="shared" ref="K31:N31" si="17">K27-K29</f>
        <v>55024.999999999971</v>
      </c>
      <c r="L31" s="22">
        <f t="shared" si="17"/>
        <v>375716.66666666674</v>
      </c>
      <c r="M31" s="22">
        <f t="shared" si="17"/>
        <v>1091708.3333333335</v>
      </c>
      <c r="N31" s="18"/>
    </row>
    <row r="32" spans="1:14">
      <c r="A32" s="1"/>
      <c r="B32" s="1"/>
      <c r="C32" s="1"/>
      <c r="D32" s="1"/>
      <c r="E32" s="1"/>
      <c r="F32" s="1"/>
      <c r="G32" s="1"/>
    </row>
    <row r="33" spans="9:13">
      <c r="I33" s="13" t="s">
        <v>52</v>
      </c>
      <c r="J33" s="18">
        <f>J31*B25</f>
        <v>-823.16666666666458</v>
      </c>
      <c r="K33" s="18">
        <f t="shared" ref="K33:M33" si="18">K31*C25</f>
        <v>12105.499999999995</v>
      </c>
      <c r="L33" s="18">
        <f t="shared" si="18"/>
        <v>82657.666666666686</v>
      </c>
      <c r="M33" s="18">
        <f t="shared" si="18"/>
        <v>240175.83333333337</v>
      </c>
    </row>
    <row r="35" spans="9:13">
      <c r="I35" s="3" t="s">
        <v>53</v>
      </c>
      <c r="J35" s="23">
        <f>J31-J33</f>
        <v>-2918.4999999999923</v>
      </c>
      <c r="K35" s="23">
        <f t="shared" ref="K35:M35" si="19">K31-K33</f>
        <v>42919.499999999978</v>
      </c>
      <c r="L35" s="23">
        <f t="shared" si="19"/>
        <v>293059.00000000006</v>
      </c>
      <c r="M35" s="23">
        <f t="shared" si="19"/>
        <v>851532.50000000012</v>
      </c>
    </row>
    <row r="36" spans="9:13">
      <c r="I36" t="s">
        <v>54</v>
      </c>
      <c r="J36" s="24">
        <f>J35/J9</f>
        <v>-1.9169129720853807E-3</v>
      </c>
      <c r="K36" s="24">
        <f t="shared" ref="K36:M36" si="20">K35/K9</f>
        <v>1.7939184952978048E-2</v>
      </c>
      <c r="L36" s="24">
        <f t="shared" si="20"/>
        <v>6.1245350052246614E-2</v>
      </c>
      <c r="M36" s="24">
        <f t="shared" si="20"/>
        <v>8.7002043422733086E-2</v>
      </c>
    </row>
    <row r="38" spans="9:13">
      <c r="I38" s="3" t="s">
        <v>55</v>
      </c>
      <c r="J38" s="18">
        <f>J27+J24</f>
        <v>197925.00000000003</v>
      </c>
      <c r="K38" s="18">
        <f t="shared" ref="K38:M38" si="21">K27+K24</f>
        <v>311025</v>
      </c>
      <c r="L38" s="18">
        <f t="shared" si="21"/>
        <v>622050.00000000012</v>
      </c>
      <c r="M38" s="18">
        <f t="shared" si="21"/>
        <v>1272375.0000000002</v>
      </c>
    </row>
  </sheetData>
  <mergeCells count="1">
    <mergeCell ref="I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C731-1F19-4CC6-B73B-167B1EDF2026}">
  <dimension ref="A1:G46"/>
  <sheetViews>
    <sheetView workbookViewId="0">
      <pane ySplit="1" topLeftCell="A2" activePane="bottomLeft" state="frozen"/>
      <selection pane="bottomLeft" activeCell="I35" sqref="I35"/>
    </sheetView>
  </sheetViews>
  <sheetFormatPr defaultRowHeight="15"/>
  <cols>
    <col min="1" max="1" width="32.85546875" bestFit="1" customWidth="1"/>
    <col min="2" max="2" width="15.140625" bestFit="1" customWidth="1"/>
    <col min="3" max="3" width="14.140625" bestFit="1" customWidth="1"/>
    <col min="4" max="6" width="13.42578125" bestFit="1" customWidth="1"/>
  </cols>
  <sheetData>
    <row r="1" spans="1:7" ht="15.75">
      <c r="A1" s="27" t="s">
        <v>56</v>
      </c>
      <c r="B1" s="5" t="s">
        <v>57</v>
      </c>
      <c r="C1" s="14" t="s">
        <v>2</v>
      </c>
      <c r="D1" s="15" t="s">
        <v>3</v>
      </c>
      <c r="E1" s="15" t="s">
        <v>4</v>
      </c>
      <c r="F1" s="14" t="s">
        <v>5</v>
      </c>
    </row>
    <row r="2" spans="1:7" ht="15.75">
      <c r="A2" s="7"/>
      <c r="B2" s="28" t="s">
        <v>58</v>
      </c>
    </row>
    <row r="3" spans="1:7" ht="15.75">
      <c r="A3" s="5" t="s">
        <v>59</v>
      </c>
      <c r="B3" s="7"/>
    </row>
    <row r="4" spans="1:7" ht="15.75">
      <c r="A4" s="7"/>
      <c r="B4" s="7"/>
    </row>
    <row r="5" spans="1:7" ht="15.75">
      <c r="A5" s="7" t="s">
        <v>60</v>
      </c>
      <c r="B5" s="31">
        <v>4250000</v>
      </c>
      <c r="C5" s="18">
        <f>B5+'Cashflow statement'!B22</f>
        <v>3754648.6666666665</v>
      </c>
      <c r="D5" s="18">
        <f>C5+'Cashflow statement'!C22</f>
        <v>4116293.6666666665</v>
      </c>
      <c r="E5" s="18">
        <f>D5+'Cashflow statement'!D22</f>
        <v>3846161</v>
      </c>
      <c r="F5" s="18">
        <f>E5+'Cashflow statement'!E22</f>
        <v>4674135.666666667</v>
      </c>
      <c r="G5" s="18"/>
    </row>
    <row r="6" spans="1:7" ht="15.75">
      <c r="A6" s="7" t="s">
        <v>61</v>
      </c>
      <c r="B6" s="31">
        <v>120000</v>
      </c>
      <c r="C6" s="18">
        <f>C37*C38</f>
        <v>76125</v>
      </c>
      <c r="D6" s="18">
        <f t="shared" ref="D6:F6" si="0">D37*D38</f>
        <v>119625</v>
      </c>
      <c r="E6" s="18">
        <f t="shared" si="0"/>
        <v>239250</v>
      </c>
      <c r="F6" s="18">
        <f t="shared" si="0"/>
        <v>489375</v>
      </c>
    </row>
    <row r="7" spans="1:7" ht="15.75">
      <c r="A7" s="27" t="s">
        <v>62</v>
      </c>
      <c r="B7" s="32">
        <f>SUM(B5:B6)</f>
        <v>4370000</v>
      </c>
      <c r="C7" s="32">
        <f t="shared" ref="C7:F7" si="1">SUM(C5:C6)</f>
        <v>3830773.6666666665</v>
      </c>
      <c r="D7" s="32">
        <f t="shared" si="1"/>
        <v>4235918.666666666</v>
      </c>
      <c r="E7" s="32">
        <f t="shared" si="1"/>
        <v>4085411</v>
      </c>
      <c r="F7" s="32">
        <f t="shared" si="1"/>
        <v>5163510.666666667</v>
      </c>
    </row>
    <row r="8" spans="1:7" ht="15.75">
      <c r="A8" s="7"/>
      <c r="B8" s="33"/>
    </row>
    <row r="9" spans="1:7" ht="15.75">
      <c r="A9" s="7" t="s">
        <v>63</v>
      </c>
      <c r="B9" s="31">
        <v>40000</v>
      </c>
      <c r="C9" s="18">
        <f>'Balance sheet'!B9+'Capex and Depreciation Schedule'!C7</f>
        <v>140000</v>
      </c>
      <c r="D9" s="18">
        <f>'Balance sheet'!C9+'Capex and Depreciation Schedule'!D7</f>
        <v>240000</v>
      </c>
      <c r="E9" s="18">
        <f>'Balance sheet'!D9+'Capex and Depreciation Schedule'!E7</f>
        <v>370000</v>
      </c>
      <c r="F9" s="18">
        <f>'Balance sheet'!E9+'Capex and Depreciation Schedule'!F7</f>
        <v>370000</v>
      </c>
    </row>
    <row r="10" spans="1:7" ht="15.75">
      <c r="A10" s="7" t="s">
        <v>64</v>
      </c>
      <c r="B10" s="31">
        <v>-10000</v>
      </c>
      <c r="C10" s="18">
        <f>B10-'Capex and Depreciation Schedule'!C13</f>
        <v>-36666.666666666672</v>
      </c>
      <c r="D10" s="18">
        <f>C10-'Capex and Depreciation Schedule'!D13</f>
        <v>-96666.666666666672</v>
      </c>
      <c r="E10" s="18">
        <f>D10-'Capex and Depreciation Schedule'!E13</f>
        <v>-196000</v>
      </c>
      <c r="F10" s="18">
        <f>E10-'Capex and Depreciation Schedule'!F13</f>
        <v>-278666.66666666669</v>
      </c>
    </row>
    <row r="11" spans="1:7" ht="15.75">
      <c r="A11" s="27" t="s">
        <v>65</v>
      </c>
      <c r="B11" s="37">
        <f>SUM(B9:B10)</f>
        <v>30000</v>
      </c>
      <c r="C11" s="37">
        <f t="shared" ref="C11:F11" si="2">SUM(C9:C10)</f>
        <v>103333.33333333333</v>
      </c>
      <c r="D11" s="37">
        <f t="shared" si="2"/>
        <v>143333.33333333331</v>
      </c>
      <c r="E11" s="37">
        <f t="shared" si="2"/>
        <v>174000</v>
      </c>
      <c r="F11" s="37">
        <f t="shared" si="2"/>
        <v>91333.333333333314</v>
      </c>
    </row>
    <row r="12" spans="1:7" ht="15.75">
      <c r="A12" s="7"/>
      <c r="B12" s="33"/>
    </row>
    <row r="13" spans="1:7" ht="15.75">
      <c r="A13" s="27" t="s">
        <v>66</v>
      </c>
      <c r="B13" s="36">
        <f>B7+B11</f>
        <v>4400000</v>
      </c>
      <c r="C13" s="36">
        <f t="shared" ref="C13:F13" si="3">C7+C11</f>
        <v>3934107</v>
      </c>
      <c r="D13" s="36">
        <f t="shared" si="3"/>
        <v>4379251.9999999991</v>
      </c>
      <c r="E13" s="36">
        <f t="shared" si="3"/>
        <v>4259411</v>
      </c>
      <c r="F13" s="36">
        <f t="shared" si="3"/>
        <v>5254844</v>
      </c>
    </row>
    <row r="14" spans="1:7" ht="15.75">
      <c r="A14" s="7"/>
      <c r="B14" s="33"/>
    </row>
    <row r="15" spans="1:7" ht="15.75">
      <c r="A15" s="5" t="s">
        <v>67</v>
      </c>
      <c r="B15" s="33"/>
    </row>
    <row r="16" spans="1:7" ht="15.75">
      <c r="A16" s="7"/>
      <c r="B16" s="33"/>
    </row>
    <row r="17" spans="1:6" ht="15.75">
      <c r="A17" s="7" t="s">
        <v>68</v>
      </c>
      <c r="B17" s="31">
        <v>75000</v>
      </c>
      <c r="C17" s="18">
        <f>C37*C39</f>
        <v>91350</v>
      </c>
      <c r="D17" s="18">
        <f t="shared" ref="D17:F17" si="4">D37*D39</f>
        <v>143550</v>
      </c>
      <c r="E17" s="18">
        <f t="shared" si="4"/>
        <v>287100</v>
      </c>
      <c r="F17" s="18">
        <f t="shared" si="4"/>
        <v>587250</v>
      </c>
    </row>
    <row r="18" spans="1:6" ht="15.75">
      <c r="A18" s="7" t="s">
        <v>69</v>
      </c>
      <c r="B18" s="31">
        <v>25000</v>
      </c>
      <c r="C18" s="18">
        <f>C37*C40</f>
        <v>45675</v>
      </c>
      <c r="D18" s="18">
        <f t="shared" ref="D18:F18" si="5">D37*D40</f>
        <v>95700</v>
      </c>
      <c r="E18" s="18">
        <f t="shared" si="5"/>
        <v>239250</v>
      </c>
      <c r="F18" s="18">
        <f t="shared" si="5"/>
        <v>783000</v>
      </c>
    </row>
    <row r="19" spans="1:6" ht="15.75">
      <c r="A19" s="27" t="s">
        <v>62</v>
      </c>
      <c r="B19" s="35">
        <f>SUM(B17:B18)</f>
        <v>100000</v>
      </c>
      <c r="C19" s="35">
        <f t="shared" ref="C19:F19" si="6">SUM(C17:C18)</f>
        <v>137025</v>
      </c>
      <c r="D19" s="35">
        <f t="shared" si="6"/>
        <v>239250</v>
      </c>
      <c r="E19" s="35">
        <f t="shared" si="6"/>
        <v>526350</v>
      </c>
      <c r="F19" s="35">
        <f t="shared" si="6"/>
        <v>1370250</v>
      </c>
    </row>
    <row r="20" spans="1:6" ht="15.75">
      <c r="A20" s="7"/>
      <c r="B20" s="33"/>
    </row>
    <row r="21" spans="1:6" ht="15.75">
      <c r="A21" s="7" t="s">
        <v>70</v>
      </c>
      <c r="B21" s="31">
        <v>3000000</v>
      </c>
      <c r="C21" s="18">
        <f>B21+C42-C43</f>
        <v>2500000</v>
      </c>
      <c r="D21" s="18">
        <f t="shared" ref="D21:F21" si="7">C21+D42-D43</f>
        <v>2800000</v>
      </c>
      <c r="E21" s="18">
        <f t="shared" si="7"/>
        <v>2100000</v>
      </c>
      <c r="F21" s="18">
        <f t="shared" si="7"/>
        <v>1400000</v>
      </c>
    </row>
    <row r="22" spans="1:6" ht="15.75">
      <c r="A22" s="7"/>
      <c r="B22" s="33"/>
    </row>
    <row r="23" spans="1:6" ht="15.75">
      <c r="A23" s="27" t="s">
        <v>71</v>
      </c>
      <c r="B23" s="36">
        <f>B19+B21</f>
        <v>3100000</v>
      </c>
      <c r="C23" s="36">
        <f t="shared" ref="C23:F23" si="8">C19+C21</f>
        <v>2637025</v>
      </c>
      <c r="D23" s="36">
        <f t="shared" si="8"/>
        <v>3039250</v>
      </c>
      <c r="E23" s="36">
        <f t="shared" si="8"/>
        <v>2626350</v>
      </c>
      <c r="F23" s="36">
        <f t="shared" si="8"/>
        <v>2770250</v>
      </c>
    </row>
    <row r="24" spans="1:6">
      <c r="B24" s="18"/>
    </row>
    <row r="25" spans="1:6" ht="15.75">
      <c r="A25" s="29" t="s">
        <v>72</v>
      </c>
      <c r="B25" s="33"/>
    </row>
    <row r="26" spans="1:6" ht="15.75">
      <c r="A26" s="1"/>
      <c r="B26" s="33"/>
    </row>
    <row r="27" spans="1:6" ht="15.75">
      <c r="A27" s="1" t="s">
        <v>73</v>
      </c>
      <c r="B27" s="31">
        <v>50000</v>
      </c>
      <c r="C27" s="18">
        <f>B27</f>
        <v>50000</v>
      </c>
      <c r="D27" s="18">
        <f t="shared" ref="D27:F27" si="9">C27</f>
        <v>50000</v>
      </c>
      <c r="E27" s="18">
        <f t="shared" si="9"/>
        <v>50000</v>
      </c>
      <c r="F27" s="18">
        <f t="shared" si="9"/>
        <v>50000</v>
      </c>
    </row>
    <row r="28" spans="1:6" ht="15.75">
      <c r="A28" s="1" t="s">
        <v>74</v>
      </c>
      <c r="B28" s="31">
        <v>1250000</v>
      </c>
      <c r="C28" s="41">
        <f>B28+'Income Statement '!J35</f>
        <v>1247081.5</v>
      </c>
      <c r="D28" s="41">
        <f>C28+'Income Statement '!K35</f>
        <v>1290001</v>
      </c>
      <c r="E28" s="41">
        <f>D28+'Income Statement '!L35</f>
        <v>1583060</v>
      </c>
      <c r="F28" s="41">
        <f>E28+'Income Statement '!M35</f>
        <v>2434592.5</v>
      </c>
    </row>
    <row r="29" spans="1:6" ht="15.75">
      <c r="A29" s="1" t="s">
        <v>75</v>
      </c>
      <c r="B29" s="32">
        <f>SUM(B27:B28)</f>
        <v>1300000</v>
      </c>
      <c r="C29" s="32">
        <f t="shared" ref="C29:F29" si="10">SUM(C27:C28)</f>
        <v>1297081.5</v>
      </c>
      <c r="D29" s="32">
        <f t="shared" si="10"/>
        <v>1340001</v>
      </c>
      <c r="E29" s="32">
        <f t="shared" si="10"/>
        <v>1633060</v>
      </c>
      <c r="F29" s="32">
        <f t="shared" si="10"/>
        <v>2484592.5</v>
      </c>
    </row>
    <row r="30" spans="1:6" ht="15.75">
      <c r="A30" s="1"/>
      <c r="B30" s="33"/>
    </row>
    <row r="31" spans="1:6" ht="15.75">
      <c r="A31" s="2" t="s">
        <v>76</v>
      </c>
      <c r="B31" s="34">
        <f>B23+B29</f>
        <v>4400000</v>
      </c>
      <c r="C31" s="34">
        <f t="shared" ref="C31:F31" si="11">C23+C29</f>
        <v>3934106.5</v>
      </c>
      <c r="D31" s="34">
        <f t="shared" si="11"/>
        <v>4379251</v>
      </c>
      <c r="E31" s="34">
        <f t="shared" si="11"/>
        <v>4259410</v>
      </c>
      <c r="F31" s="34">
        <f t="shared" si="11"/>
        <v>5254842.5</v>
      </c>
    </row>
    <row r="32" spans="1:6" ht="15.75">
      <c r="A32" s="1"/>
      <c r="B32" s="33"/>
    </row>
    <row r="33" spans="1:6" ht="15.75">
      <c r="A33" s="1" t="s">
        <v>77</v>
      </c>
      <c r="B33" s="33">
        <f>B13-B31</f>
        <v>0</v>
      </c>
      <c r="C33" s="33">
        <f t="shared" ref="C33:F33" si="12">C13-C31</f>
        <v>0.5</v>
      </c>
      <c r="D33" s="33">
        <f t="shared" si="12"/>
        <v>0.99999999906867743</v>
      </c>
      <c r="E33" s="33">
        <f t="shared" si="12"/>
        <v>1</v>
      </c>
      <c r="F33" s="33">
        <f t="shared" si="12"/>
        <v>1.5</v>
      </c>
    </row>
    <row r="34" spans="1:6" ht="15.75">
      <c r="A34" s="1"/>
      <c r="B34" s="7"/>
    </row>
    <row r="35" spans="1:6" ht="15.75">
      <c r="A35" s="6" t="s">
        <v>78</v>
      </c>
      <c r="B35" s="6" t="s">
        <v>23</v>
      </c>
      <c r="C35" s="6"/>
      <c r="D35" s="6"/>
      <c r="E35" s="6"/>
      <c r="F35" s="6"/>
    </row>
    <row r="36" spans="1:6" ht="15.75">
      <c r="A36" s="1"/>
      <c r="B36" s="7"/>
    </row>
    <row r="37" spans="1:6" ht="15.75">
      <c r="A37" s="1" t="s">
        <v>79</v>
      </c>
      <c r="B37" s="7"/>
      <c r="C37" s="18">
        <f>'Income Statement '!J9</f>
        <v>1522500</v>
      </c>
      <c r="D37" s="18">
        <f>'Income Statement '!K9</f>
        <v>2392500</v>
      </c>
      <c r="E37" s="18">
        <f>'Income Statement '!L9</f>
        <v>4785000</v>
      </c>
      <c r="F37" s="18">
        <f>'Income Statement '!M9</f>
        <v>9787500</v>
      </c>
    </row>
    <row r="38" spans="1:6" ht="15.75">
      <c r="A38" s="1" t="s">
        <v>80</v>
      </c>
      <c r="B38" s="7"/>
      <c r="C38" s="30">
        <v>0.05</v>
      </c>
      <c r="D38" s="30">
        <v>0.05</v>
      </c>
      <c r="E38" s="30">
        <v>0.05</v>
      </c>
      <c r="F38" s="30">
        <v>0.05</v>
      </c>
    </row>
    <row r="39" spans="1:6" ht="15.75">
      <c r="A39" s="1" t="s">
        <v>81</v>
      </c>
      <c r="B39" s="7"/>
      <c r="C39" s="30">
        <v>0.06</v>
      </c>
      <c r="D39" s="30">
        <v>0.06</v>
      </c>
      <c r="E39" s="30">
        <v>0.06</v>
      </c>
      <c r="F39" s="30">
        <v>0.06</v>
      </c>
    </row>
    <row r="40" spans="1:6" ht="15.75">
      <c r="A40" s="1" t="s">
        <v>69</v>
      </c>
      <c r="B40" s="7"/>
      <c r="C40" s="30">
        <v>0.03</v>
      </c>
      <c r="D40" s="30">
        <v>0.04</v>
      </c>
      <c r="E40" s="30">
        <v>0.05</v>
      </c>
      <c r="F40" s="30">
        <v>0.08</v>
      </c>
    </row>
    <row r="42" spans="1:6">
      <c r="A42" s="1" t="s">
        <v>82</v>
      </c>
      <c r="B42" s="38"/>
      <c r="C42" s="38"/>
      <c r="D42" s="39">
        <v>1000000</v>
      </c>
      <c r="E42" s="38"/>
      <c r="F42" s="38"/>
    </row>
    <row r="43" spans="1:6">
      <c r="A43" s="1" t="s">
        <v>83</v>
      </c>
      <c r="B43" s="38"/>
      <c r="C43" s="39">
        <v>500000</v>
      </c>
      <c r="D43" s="39">
        <v>700000</v>
      </c>
      <c r="E43" s="40">
        <v>700000</v>
      </c>
      <c r="F43" s="40">
        <v>700000</v>
      </c>
    </row>
    <row r="44" spans="1:6">
      <c r="A44" s="1" t="s">
        <v>84</v>
      </c>
      <c r="B44" s="38"/>
      <c r="C44" s="42">
        <v>7.0000000000000007E-2</v>
      </c>
      <c r="D44" s="42">
        <v>7.0000000000000007E-2</v>
      </c>
      <c r="E44" s="42">
        <v>7.0000000000000007E-2</v>
      </c>
      <c r="F44" s="42">
        <v>7.0000000000000007E-2</v>
      </c>
    </row>
    <row r="45" spans="1:6">
      <c r="A45" s="1" t="s">
        <v>85</v>
      </c>
      <c r="B45" s="38"/>
      <c r="C45" s="40">
        <f>C21*C44</f>
        <v>175000.00000000003</v>
      </c>
      <c r="D45" s="40">
        <f t="shared" ref="D45:F45" si="13">D21*D44</f>
        <v>196000.00000000003</v>
      </c>
      <c r="E45" s="40">
        <f t="shared" si="13"/>
        <v>147000</v>
      </c>
      <c r="F45" s="40">
        <f t="shared" si="13"/>
        <v>98000.000000000015</v>
      </c>
    </row>
    <row r="46" spans="1:6">
      <c r="A46" s="1"/>
      <c r="B46" s="38"/>
      <c r="C46" s="38"/>
      <c r="D46" s="38"/>
      <c r="E46" s="38"/>
      <c r="F46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AD4C-F7E9-4CFA-B546-90C8F86CA150}">
  <dimension ref="A1:G65"/>
  <sheetViews>
    <sheetView workbookViewId="0">
      <selection activeCell="G15" sqref="G15"/>
    </sheetView>
  </sheetViews>
  <sheetFormatPr defaultRowHeight="15"/>
  <cols>
    <col min="1" max="1" width="19.5703125" bestFit="1" customWidth="1"/>
    <col min="2" max="2" width="12.7109375" bestFit="1" customWidth="1"/>
    <col min="3" max="3" width="14.28515625" bestFit="1" customWidth="1"/>
    <col min="4" max="5" width="12.7109375" bestFit="1" customWidth="1"/>
    <col min="7" max="7" width="24.5703125" bestFit="1" customWidth="1"/>
  </cols>
  <sheetData>
    <row r="1" spans="1:7" ht="15.75">
      <c r="A1" s="2" t="s">
        <v>86</v>
      </c>
      <c r="B1" s="5" t="s">
        <v>16</v>
      </c>
      <c r="C1" s="5" t="s">
        <v>17</v>
      </c>
      <c r="D1" s="5" t="s">
        <v>18</v>
      </c>
      <c r="E1" s="5" t="s">
        <v>19</v>
      </c>
      <c r="F1" s="1"/>
    </row>
    <row r="2" spans="1:7">
      <c r="A2" s="1"/>
      <c r="B2" s="1"/>
      <c r="C2" s="1"/>
      <c r="D2" s="1"/>
      <c r="E2" s="1"/>
      <c r="F2" s="1"/>
    </row>
    <row r="3" spans="1:7">
      <c r="A3" s="2" t="s">
        <v>53</v>
      </c>
      <c r="B3" s="44">
        <v>-2918</v>
      </c>
      <c r="C3" s="44">
        <v>42920</v>
      </c>
      <c r="D3" s="44">
        <v>293059</v>
      </c>
      <c r="E3" s="44">
        <v>851533</v>
      </c>
      <c r="F3" s="1"/>
    </row>
    <row r="4" spans="1:7">
      <c r="A4" s="1"/>
      <c r="B4" s="44"/>
      <c r="C4" s="44"/>
      <c r="D4" s="44"/>
      <c r="E4" s="44"/>
      <c r="F4" s="1"/>
    </row>
    <row r="5" spans="1:7">
      <c r="A5" s="29" t="s">
        <v>87</v>
      </c>
      <c r="B5" s="44"/>
      <c r="C5" s="44"/>
      <c r="D5" s="44"/>
      <c r="E5" s="44"/>
      <c r="F5" s="1"/>
    </row>
    <row r="6" spans="1:7">
      <c r="A6" s="2" t="s">
        <v>88</v>
      </c>
      <c r="B6" s="44">
        <f>'Capex and Depreciation Schedule'!C13</f>
        <v>26666.666666666668</v>
      </c>
      <c r="C6" s="44">
        <f>'Capex and Depreciation Schedule'!D13</f>
        <v>60000</v>
      </c>
      <c r="D6" s="44">
        <f>'Capex and Depreciation Schedule'!E13</f>
        <v>99333.333333333343</v>
      </c>
      <c r="E6" s="44">
        <f>'Capex and Depreciation Schedule'!F13</f>
        <v>82666.666666666672</v>
      </c>
      <c r="F6" s="1"/>
    </row>
    <row r="7" spans="1:7">
      <c r="A7" s="2" t="s">
        <v>89</v>
      </c>
      <c r="B7" s="44">
        <f>'Balance sheet'!B6-'Balance sheet'!C6</f>
        <v>43875</v>
      </c>
      <c r="C7" s="44">
        <f>'Balance sheet'!C6-'Balance sheet'!D6</f>
        <v>-43500</v>
      </c>
      <c r="D7" s="44">
        <f>'Balance sheet'!D6-'Balance sheet'!E6</f>
        <v>-119625</v>
      </c>
      <c r="E7" s="44">
        <f>'Balance sheet'!E6-'Balance sheet'!F6</f>
        <v>-250125</v>
      </c>
      <c r="F7" s="1"/>
    </row>
    <row r="8" spans="1:7">
      <c r="A8" s="2" t="s">
        <v>90</v>
      </c>
      <c r="B8" s="44">
        <f>'Balance sheet'!C17-'Balance sheet'!B17</f>
        <v>16350</v>
      </c>
      <c r="C8" s="44">
        <f>'Balance sheet'!D17-'Balance sheet'!C17</f>
        <v>52200</v>
      </c>
      <c r="D8" s="44">
        <f>'Balance sheet'!E17-'Balance sheet'!D17</f>
        <v>143550</v>
      </c>
      <c r="E8" s="44">
        <f>'Balance sheet'!F17-'Balance sheet'!E17</f>
        <v>300150</v>
      </c>
      <c r="F8" s="1"/>
    </row>
    <row r="9" spans="1:7">
      <c r="A9" s="2" t="s">
        <v>91</v>
      </c>
      <c r="B9" s="44">
        <f>'Balance sheet'!C18-'Balance sheet'!B18</f>
        <v>20675</v>
      </c>
      <c r="C9" s="44">
        <f>'Balance sheet'!D18-'Balance sheet'!C18</f>
        <v>50025</v>
      </c>
      <c r="D9" s="44">
        <f>'Balance sheet'!E18-'Balance sheet'!D18</f>
        <v>143550</v>
      </c>
      <c r="E9" s="44">
        <f>'Balance sheet'!F18-'Balance sheet'!E18</f>
        <v>543750</v>
      </c>
      <c r="F9" s="1"/>
    </row>
    <row r="10" spans="1:7">
      <c r="A10" s="2" t="s">
        <v>92</v>
      </c>
      <c r="B10" s="45">
        <f>B3+SUM(B6:B9)</f>
        <v>104648.66666666667</v>
      </c>
      <c r="C10" s="45">
        <f t="shared" ref="C10:E10" si="0">C3+SUM(C6:C9)</f>
        <v>161645</v>
      </c>
      <c r="D10" s="45">
        <f t="shared" si="0"/>
        <v>559867.33333333337</v>
      </c>
      <c r="E10" s="45">
        <f t="shared" si="0"/>
        <v>1527974.6666666667</v>
      </c>
      <c r="F10" s="1"/>
    </row>
    <row r="11" spans="1:7">
      <c r="A11" s="2"/>
      <c r="B11" s="1"/>
      <c r="C11" s="1"/>
      <c r="D11" s="1"/>
      <c r="E11" s="1"/>
      <c r="F11" s="1"/>
    </row>
    <row r="12" spans="1:7">
      <c r="A12" s="29" t="s">
        <v>93</v>
      </c>
      <c r="B12" s="1"/>
      <c r="C12" s="1"/>
      <c r="D12" s="1"/>
      <c r="E12" s="1"/>
      <c r="F12" s="1"/>
    </row>
    <row r="13" spans="1:7">
      <c r="A13" s="2" t="s">
        <v>94</v>
      </c>
      <c r="B13" s="44">
        <f>'Capex and Depreciation Schedule'!C7</f>
        <v>100000</v>
      </c>
      <c r="C13" s="44">
        <f>'Capex and Depreciation Schedule'!D7</f>
        <v>100000</v>
      </c>
      <c r="D13" s="44">
        <f>'Capex and Depreciation Schedule'!E7</f>
        <v>130000</v>
      </c>
      <c r="E13" s="44">
        <f>'Capex and Depreciation Schedule'!F7</f>
        <v>0</v>
      </c>
      <c r="F13" s="1"/>
    </row>
    <row r="14" spans="1:7">
      <c r="A14" s="2"/>
      <c r="B14" s="1"/>
      <c r="C14" s="1"/>
      <c r="D14" s="1"/>
      <c r="E14" s="1"/>
      <c r="F14" s="1"/>
    </row>
    <row r="15" spans="1:7">
      <c r="A15" s="46" t="s">
        <v>95</v>
      </c>
      <c r="B15" s="44">
        <f>B10-B13</f>
        <v>4648.6666666666715</v>
      </c>
      <c r="C15" s="44">
        <f t="shared" ref="C15:E15" si="1">C10-C13</f>
        <v>61645</v>
      </c>
      <c r="D15" s="44">
        <f t="shared" si="1"/>
        <v>429867.33333333337</v>
      </c>
      <c r="E15" s="44">
        <f t="shared" si="1"/>
        <v>1527974.6666666667</v>
      </c>
      <c r="F15" s="1"/>
      <c r="G15" s="50" t="s">
        <v>96</v>
      </c>
    </row>
    <row r="16" spans="1:7">
      <c r="A16" s="2"/>
      <c r="B16" s="1"/>
      <c r="C16" s="1"/>
      <c r="D16" s="1"/>
      <c r="E16" s="1"/>
      <c r="F16" s="1"/>
    </row>
    <row r="17" spans="1:6">
      <c r="A17" s="29" t="s">
        <v>97</v>
      </c>
      <c r="B17" s="1"/>
      <c r="C17" s="1"/>
      <c r="D17" s="1"/>
      <c r="E17" s="1"/>
      <c r="F17" s="1"/>
    </row>
    <row r="18" spans="1:6">
      <c r="A18" s="46" t="s">
        <v>98</v>
      </c>
      <c r="B18" s="47">
        <f>-'Balance sheet'!C43</f>
        <v>-500000</v>
      </c>
      <c r="C18" s="47">
        <f>-'Balance sheet'!D43</f>
        <v>-700000</v>
      </c>
      <c r="D18" s="47">
        <f>-'Balance sheet'!E43</f>
        <v>-700000</v>
      </c>
      <c r="E18" s="47">
        <f>-'Balance sheet'!F43</f>
        <v>-700000</v>
      </c>
      <c r="F18" s="1"/>
    </row>
    <row r="19" spans="1:6">
      <c r="A19" s="46" t="s">
        <v>99</v>
      </c>
      <c r="B19" s="44">
        <f>'Balance sheet'!C42</f>
        <v>0</v>
      </c>
      <c r="C19" s="44">
        <f>'Balance sheet'!D42</f>
        <v>1000000</v>
      </c>
      <c r="D19" s="44">
        <f>'Balance sheet'!E42</f>
        <v>0</v>
      </c>
      <c r="E19" s="44">
        <f>'Balance sheet'!F42</f>
        <v>0</v>
      </c>
      <c r="F19" s="1"/>
    </row>
    <row r="20" spans="1:6">
      <c r="A20" s="2" t="s">
        <v>100</v>
      </c>
      <c r="B20" s="48">
        <f>SUM(B18:B19)</f>
        <v>-500000</v>
      </c>
      <c r="C20" s="48">
        <f t="shared" ref="C20:E20" si="2">SUM(C18:C19)</f>
        <v>300000</v>
      </c>
      <c r="D20" s="48">
        <f t="shared" si="2"/>
        <v>-700000</v>
      </c>
      <c r="E20" s="48">
        <f t="shared" si="2"/>
        <v>-700000</v>
      </c>
      <c r="F20" s="1"/>
    </row>
    <row r="21" spans="1:6">
      <c r="A21" s="1"/>
      <c r="B21" s="1"/>
      <c r="C21" s="1"/>
      <c r="D21" s="1"/>
      <c r="E21" s="1"/>
      <c r="F21" s="1"/>
    </row>
    <row r="22" spans="1:6">
      <c r="A22" s="2" t="s">
        <v>101</v>
      </c>
      <c r="B22" s="44">
        <f>B15+B20</f>
        <v>-495351.33333333331</v>
      </c>
      <c r="C22" s="44">
        <f t="shared" ref="C22:E22" si="3">C15+C20</f>
        <v>361645</v>
      </c>
      <c r="D22" s="44">
        <f t="shared" si="3"/>
        <v>-270132.66666666663</v>
      </c>
      <c r="E22" s="44">
        <f t="shared" si="3"/>
        <v>827974.66666666674</v>
      </c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2026-05-15T08:36:34Z</dcterms:created>
  <dcterms:modified xsi:type="dcterms:W3CDTF">2026-07-08T15:08:44Z</dcterms:modified>
  <cp:category/>
  <cp:contentStatus/>
</cp:coreProperties>
</file>